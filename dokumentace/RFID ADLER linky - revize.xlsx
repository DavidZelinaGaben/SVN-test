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245" activeTab="3"/>
  </bookViews>
  <sheets>
    <sheet name="Kalkulace červenec 2015" sheetId="3" r:id="rId1"/>
    <sheet name="Kalkulace září 2015" sheetId="4" r:id="rId2"/>
    <sheet name="Kalkulace 2016" sheetId="5" r:id="rId3"/>
    <sheet name="Schéma" sheetId="1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5" l="1"/>
  <c r="D13" i="4"/>
  <c r="D22" i="3"/>
  <c r="D16" i="3"/>
  <c r="D21" i="3"/>
  <c r="D12" i="3"/>
  <c r="A26" i="5" l="1"/>
  <c r="C25" i="5"/>
  <c r="A25" i="5"/>
  <c r="A24" i="5"/>
  <c r="D21" i="5"/>
  <c r="D20" i="5"/>
  <c r="D19" i="5"/>
  <c r="D18" i="5"/>
  <c r="D22" i="5" s="1"/>
  <c r="B26" i="5" s="1"/>
  <c r="D26" i="5" s="1"/>
  <c r="D17" i="5"/>
  <c r="D15" i="5"/>
  <c r="D14" i="5"/>
  <c r="D12" i="5"/>
  <c r="D10" i="5"/>
  <c r="D9" i="5"/>
  <c r="D8" i="5"/>
  <c r="D7" i="5"/>
  <c r="D6" i="5"/>
  <c r="D5" i="5"/>
  <c r="D4" i="5"/>
  <c r="D3" i="5"/>
  <c r="D2" i="5"/>
  <c r="A26" i="4"/>
  <c r="C25" i="4"/>
  <c r="A25" i="4"/>
  <c r="A24" i="4"/>
  <c r="D21" i="4"/>
  <c r="D20" i="4"/>
  <c r="D19" i="4"/>
  <c r="D18" i="4"/>
  <c r="D17" i="4"/>
  <c r="D15" i="4"/>
  <c r="D14" i="4"/>
  <c r="D12" i="4"/>
  <c r="D10" i="4"/>
  <c r="D9" i="4"/>
  <c r="D8" i="4"/>
  <c r="D7" i="4"/>
  <c r="D6" i="4"/>
  <c r="D5" i="4"/>
  <c r="D4" i="4"/>
  <c r="D3" i="4"/>
  <c r="D11" i="4" s="1"/>
  <c r="B24" i="4" s="1"/>
  <c r="D24" i="4" s="1"/>
  <c r="D2" i="4"/>
  <c r="D16" i="5" l="1"/>
  <c r="B25" i="5" s="1"/>
  <c r="D16" i="4"/>
  <c r="B25" i="4" s="1"/>
  <c r="D25" i="4" s="1"/>
  <c r="D11" i="5"/>
  <c r="B24" i="5" s="1"/>
  <c r="D24" i="5" s="1"/>
  <c r="D25" i="5"/>
  <c r="D22" i="4"/>
  <c r="B26" i="4" s="1"/>
  <c r="D26" i="4" s="1"/>
  <c r="D17" i="3"/>
  <c r="D27" i="4" l="1"/>
  <c r="D27" i="5"/>
  <c r="A28" i="3"/>
  <c r="C27" i="3" l="1"/>
  <c r="A27" i="3"/>
  <c r="A26" i="3"/>
  <c r="D23" i="3"/>
  <c r="D20" i="3"/>
  <c r="D19" i="3"/>
  <c r="D18" i="3"/>
  <c r="D15" i="3"/>
  <c r="D14" i="3"/>
  <c r="D13" i="3"/>
  <c r="D10" i="3"/>
  <c r="D9" i="3"/>
  <c r="D8" i="3"/>
  <c r="D7" i="3"/>
  <c r="D6" i="3"/>
  <c r="D5" i="3"/>
  <c r="D4" i="3"/>
  <c r="D3" i="3"/>
  <c r="D2" i="3"/>
  <c r="D24" i="3" l="1"/>
  <c r="B28" i="3" s="1"/>
  <c r="D28" i="3" s="1"/>
  <c r="B27" i="3"/>
  <c r="D27" i="3" s="1"/>
  <c r="D11" i="3"/>
  <c r="B26" i="3" s="1"/>
  <c r="D26" i="3" s="1"/>
  <c r="D29" i="3" l="1"/>
</calcChain>
</file>

<file path=xl/sharedStrings.xml><?xml version="1.0" encoding="utf-8"?>
<sst xmlns="http://schemas.openxmlformats.org/spreadsheetml/2006/main" count="84" uniqueCount="32">
  <si>
    <t>Položka</t>
  </si>
  <si>
    <t>Cena/MJ</t>
  </si>
  <si>
    <t>MJ</t>
  </si>
  <si>
    <t>Cena celkem</t>
  </si>
  <si>
    <t>Anténa RFID</t>
  </si>
  <si>
    <t>Čtečka RFID s výstupem RS232</t>
  </si>
  <si>
    <t>Krabička pro čtečku</t>
  </si>
  <si>
    <t>Papouch 2x RS232 / LAN</t>
  </si>
  <si>
    <t>Switch 4x LAN</t>
  </si>
  <si>
    <t>Průmyslový zdroj 5V</t>
  </si>
  <si>
    <t xml:space="preserve">Spotřební materiál </t>
  </si>
  <si>
    <t>Celkem kompletní linka HW</t>
  </si>
  <si>
    <t>Práce na rozvaděči</t>
  </si>
  <si>
    <t>Práce na instalaci</t>
  </si>
  <si>
    <t>RFID čtečka pro nahrávání karet</t>
  </si>
  <si>
    <t>SW pro nahrávání karet</t>
  </si>
  <si>
    <t>Vývoj a příprava</t>
  </si>
  <si>
    <t>Práce na konfiguraci</t>
  </si>
  <si>
    <t>Celkem jednorázové náklady</t>
  </si>
  <si>
    <t>Celkem</t>
  </si>
  <si>
    <t>Celkem kompletní linka práce</t>
  </si>
  <si>
    <t>Celkové náklady</t>
  </si>
  <si>
    <t>RFID karty ISO 16693 (ne Siemens)</t>
  </si>
  <si>
    <t>RFID čtečka pro třídění palet s relé</t>
  </si>
  <si>
    <t xml:space="preserve">Rozvaděč plast </t>
  </si>
  <si>
    <t>Držák čtečky na dopravník</t>
  </si>
  <si>
    <t>Switch 4x LAN*</t>
  </si>
  <si>
    <t>Rozvaděč plast*</t>
  </si>
  <si>
    <t>* dle skutečnosti</t>
  </si>
  <si>
    <t>Práce na LED liště</t>
  </si>
  <si>
    <t>Funkční testy, včetně dopravy (odhad na červenec)</t>
  </si>
  <si>
    <t>Předpříprava a testy, včetně dopravy (květen-červen)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</si>
</sst>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4" xfId="0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5" xfId="0" applyNumberFormat="1" applyBorder="1"/>
    <xf numFmtId="3" fontId="0" fillId="0" borderId="6" xfId="0" applyNumberFormat="1" applyBorder="1"/>
    <xf numFmtId="3" fontId="0" fillId="0" borderId="0" xfId="0" applyNumberFormat="1"/>
    <xf numFmtId="0" fontId="2" fillId="0" borderId="4" xfId="0" applyFont="1" applyBorder="1"/>
    <xf numFmtId="3" fontId="2" fillId="0" borderId="5" xfId="0" applyNumberFormat="1" applyFont="1" applyBorder="1"/>
    <xf numFmtId="3" fontId="2" fillId="0" borderId="6" xfId="0" applyNumberFormat="1" applyFont="1" applyBorder="1"/>
    <xf numFmtId="0" fontId="2" fillId="0" borderId="0" xfId="0" applyFont="1"/>
    <xf numFmtId="0" fontId="1" fillId="0" borderId="4" xfId="0" applyFont="1" applyBorder="1"/>
    <xf numFmtId="3" fontId="1" fillId="0" borderId="5" xfId="0" applyNumberFormat="1" applyFont="1" applyBorder="1"/>
    <xf numFmtId="3" fontId="1" fillId="0" borderId="6" xfId="0" applyNumberFormat="1" applyFont="1" applyBorder="1"/>
    <xf numFmtId="0" fontId="1" fillId="0" borderId="0" xfId="0" applyFont="1"/>
    <xf numFmtId="0" fontId="1" fillId="0" borderId="7" xfId="0" applyFont="1" applyBorder="1"/>
    <xf numFmtId="3" fontId="1" fillId="0" borderId="8" xfId="0" applyNumberFormat="1" applyFont="1" applyBorder="1"/>
    <xf numFmtId="0" fontId="3" fillId="0" borderId="7" xfId="0" applyFont="1" applyBorder="1"/>
    <xf numFmtId="3" fontId="3" fillId="0" borderId="8" xfId="0" applyNumberFormat="1" applyFont="1" applyBorder="1"/>
    <xf numFmtId="3" fontId="3" fillId="0" borderId="9" xfId="0" applyNumberFormat="1" applyFont="1" applyBorder="1"/>
    <xf numFmtId="0" fontId="3" fillId="0" borderId="0" xfId="0" applyFont="1"/>
    <xf numFmtId="0" fontId="4" fillId="0" borderId="1" xfId="0" applyFont="1" applyBorder="1"/>
    <xf numFmtId="3" fontId="4" fillId="0" borderId="2" xfId="0" applyNumberFormat="1" applyFont="1" applyBorder="1"/>
    <xf numFmtId="3" fontId="4" fillId="0" borderId="3" xfId="0" applyNumberFormat="1" applyFont="1" applyBorder="1"/>
    <xf numFmtId="0" fontId="4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154744</xdr:colOff>
      <xdr:row>2</xdr:row>
      <xdr:rowOff>74245</xdr:rowOff>
    </xdr:from>
    <xdr:to>
      <xdr:col>9</xdr:col>
      <xdr:colOff>595923</xdr:colOff>
      <xdr:row>24</xdr:row>
      <xdr:rowOff>97692</xdr:rowOff>
    </xdr:to>
    <xdr:sp macro="" textlink="">
      <xdr:nvSpPr>
        <xdr:cNvPr id="36" name="Obdélník 35"/>
        <xdr:cNvSpPr/>
      </xdr:nvSpPr>
      <xdr:spPr>
        <a:xfrm>
          <a:off x="3788898" y="445476"/>
          <a:ext cx="2258256" cy="4106985"/>
        </a:xfrm>
        <a:prstGeom prst="rect">
          <a:avLst/>
        </a:prstGeom>
        <a:solidFill>
          <a:schemeClr val="accent1">
            <a:alpha val="5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</xdr:col>
      <xdr:colOff>60960</xdr:colOff>
      <xdr:row>2</xdr:row>
      <xdr:rowOff>0</xdr:rowOff>
    </xdr:from>
    <xdr:to>
      <xdr:col>3</xdr:col>
      <xdr:colOff>403860</xdr:colOff>
      <xdr:row>5</xdr:row>
      <xdr:rowOff>76200</xdr:rowOff>
    </xdr:to>
    <xdr:grpSp>
      <xdr:nvGrpSpPr>
        <xdr:cNvPr id="9" name="Skupina 8"/>
        <xdr:cNvGrpSpPr/>
      </xdr:nvGrpSpPr>
      <xdr:grpSpPr>
        <a:xfrm>
          <a:off x="671537" y="390769"/>
          <a:ext cx="1564054" cy="662354"/>
          <a:chOff x="670560" y="365760"/>
          <a:chExt cx="1562100" cy="624840"/>
        </a:xfrm>
      </xdr:grpSpPr>
      <xdr:sp macro="" textlink="">
        <xdr:nvSpPr>
          <xdr:cNvPr id="8" name="Obdélník 7"/>
          <xdr:cNvSpPr/>
        </xdr:nvSpPr>
        <xdr:spPr>
          <a:xfrm>
            <a:off x="670560" y="365760"/>
            <a:ext cx="1562100" cy="624840"/>
          </a:xfrm>
          <a:prstGeom prst="rect">
            <a:avLst/>
          </a:prstGeom>
          <a:solidFill>
            <a:schemeClr val="accent1">
              <a:alpha val="5000"/>
            </a:schemeClr>
          </a:solidFill>
          <a:ln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cs-CZ" sz="1100"/>
          </a:p>
        </xdr:txBody>
      </xdr:sp>
      <xdr:sp macro="" textlink="">
        <xdr:nvSpPr>
          <xdr:cNvPr id="2" name="Obdélník 1"/>
          <xdr:cNvSpPr/>
        </xdr:nvSpPr>
        <xdr:spPr>
          <a:xfrm>
            <a:off x="822960" y="518160"/>
            <a:ext cx="502920" cy="37338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RFID anténa </a:t>
            </a:r>
          </a:p>
        </xdr:txBody>
      </xdr:sp>
      <xdr:sp macro="" textlink="">
        <xdr:nvSpPr>
          <xdr:cNvPr id="3" name="Obdélník 2"/>
          <xdr:cNvSpPr/>
        </xdr:nvSpPr>
        <xdr:spPr>
          <a:xfrm>
            <a:off x="1432560" y="518160"/>
            <a:ext cx="693420" cy="36576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Výstup RS232</a:t>
            </a:r>
          </a:p>
        </xdr:txBody>
      </xdr:sp>
    </xdr:grpSp>
    <xdr:clientData/>
  </xdr:twoCellAnchor>
  <xdr:twoCellAnchor>
    <xdr:from>
      <xdr:col>6</xdr:col>
      <xdr:colOff>274320</xdr:colOff>
      <xdr:row>4</xdr:row>
      <xdr:rowOff>80712</xdr:rowOff>
    </xdr:from>
    <xdr:to>
      <xdr:col>7</xdr:col>
      <xdr:colOff>358140</xdr:colOff>
      <xdr:row>7</xdr:row>
      <xdr:rowOff>19538</xdr:rowOff>
    </xdr:to>
    <xdr:sp macro="" textlink="">
      <xdr:nvSpPr>
        <xdr:cNvPr id="5" name="Obdélník 4"/>
        <xdr:cNvSpPr/>
      </xdr:nvSpPr>
      <xdr:spPr>
        <a:xfrm>
          <a:off x="3908474" y="823174"/>
          <a:ext cx="689512" cy="49567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cs-CZ" sz="800">
              <a:solidFill>
                <a:schemeClr val="tx2"/>
              </a:solidFill>
            </a:rPr>
            <a:t>Papouch</a:t>
          </a:r>
          <a:r>
            <a:rPr lang="cs-CZ" sz="800" baseline="0">
              <a:solidFill>
                <a:schemeClr val="tx2"/>
              </a:solidFill>
            </a:rPr>
            <a:t> 2x RS232/LAN</a:t>
          </a:r>
          <a:endParaRPr lang="cs-CZ" sz="800">
            <a:solidFill>
              <a:schemeClr val="tx2"/>
            </a:solidFill>
          </a:endParaRPr>
        </a:p>
      </xdr:txBody>
    </xdr:sp>
    <xdr:clientData/>
  </xdr:twoCellAnchor>
  <xdr:twoCellAnchor>
    <xdr:from>
      <xdr:col>8</xdr:col>
      <xdr:colOff>304604</xdr:colOff>
      <xdr:row>11</xdr:row>
      <xdr:rowOff>125046</xdr:rowOff>
    </xdr:from>
    <xdr:to>
      <xdr:col>9</xdr:col>
      <xdr:colOff>388424</xdr:colOff>
      <xdr:row>15</xdr:row>
      <xdr:rowOff>58615</xdr:rowOff>
    </xdr:to>
    <xdr:sp macro="" textlink="">
      <xdr:nvSpPr>
        <xdr:cNvPr id="6" name="Obdélník 5"/>
        <xdr:cNvSpPr/>
      </xdr:nvSpPr>
      <xdr:spPr>
        <a:xfrm>
          <a:off x="5150142" y="2166815"/>
          <a:ext cx="689513" cy="67603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cs-CZ" sz="800">
              <a:solidFill>
                <a:schemeClr val="tx2"/>
              </a:solidFill>
            </a:rPr>
            <a:t>Switch 8x</a:t>
          </a:r>
        </a:p>
      </xdr:txBody>
    </xdr:sp>
    <xdr:clientData/>
  </xdr:twoCellAnchor>
  <xdr:twoCellAnchor>
    <xdr:from>
      <xdr:col>8</xdr:col>
      <xdr:colOff>312225</xdr:colOff>
      <xdr:row>8</xdr:row>
      <xdr:rowOff>60961</xdr:rowOff>
    </xdr:from>
    <xdr:to>
      <xdr:col>9</xdr:col>
      <xdr:colOff>396045</xdr:colOff>
      <xdr:row>10</xdr:row>
      <xdr:rowOff>60961</xdr:rowOff>
    </xdr:to>
    <xdr:sp macro="" textlink="">
      <xdr:nvSpPr>
        <xdr:cNvPr id="7" name="Obdélník 6"/>
        <xdr:cNvSpPr/>
      </xdr:nvSpPr>
      <xdr:spPr>
        <a:xfrm>
          <a:off x="5157763" y="1545884"/>
          <a:ext cx="689513" cy="37123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cs-CZ" sz="800">
              <a:solidFill>
                <a:schemeClr val="tx2"/>
              </a:solidFill>
            </a:rPr>
            <a:t>Průmyslový zdroj 12/5V</a:t>
          </a:r>
        </a:p>
      </xdr:txBody>
    </xdr:sp>
    <xdr:clientData/>
  </xdr:twoCellAnchor>
  <xdr:twoCellAnchor>
    <xdr:from>
      <xdr:col>1</xdr:col>
      <xdr:colOff>60960</xdr:colOff>
      <xdr:row>5</xdr:row>
      <xdr:rowOff>161976</xdr:rowOff>
    </xdr:from>
    <xdr:to>
      <xdr:col>3</xdr:col>
      <xdr:colOff>403860</xdr:colOff>
      <xdr:row>9</xdr:row>
      <xdr:rowOff>52561</xdr:rowOff>
    </xdr:to>
    <xdr:grpSp>
      <xdr:nvGrpSpPr>
        <xdr:cNvPr id="10" name="Skupina 9"/>
        <xdr:cNvGrpSpPr/>
      </xdr:nvGrpSpPr>
      <xdr:grpSpPr>
        <a:xfrm>
          <a:off x="671537" y="1138899"/>
          <a:ext cx="1564054" cy="672124"/>
          <a:chOff x="670560" y="365760"/>
          <a:chExt cx="1562100" cy="624840"/>
        </a:xfrm>
      </xdr:grpSpPr>
      <xdr:sp macro="" textlink="">
        <xdr:nvSpPr>
          <xdr:cNvPr id="11" name="Obdélník 10"/>
          <xdr:cNvSpPr/>
        </xdr:nvSpPr>
        <xdr:spPr>
          <a:xfrm>
            <a:off x="670560" y="365760"/>
            <a:ext cx="1562100" cy="624840"/>
          </a:xfrm>
          <a:prstGeom prst="rect">
            <a:avLst/>
          </a:prstGeom>
          <a:solidFill>
            <a:schemeClr val="accent1">
              <a:alpha val="5000"/>
            </a:schemeClr>
          </a:solidFill>
          <a:ln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cs-CZ" sz="1100"/>
          </a:p>
        </xdr:txBody>
      </xdr:sp>
      <xdr:sp macro="" textlink="">
        <xdr:nvSpPr>
          <xdr:cNvPr id="12" name="Obdélník 11"/>
          <xdr:cNvSpPr/>
        </xdr:nvSpPr>
        <xdr:spPr>
          <a:xfrm>
            <a:off x="822960" y="518160"/>
            <a:ext cx="502920" cy="37338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RFID anténa </a:t>
            </a:r>
          </a:p>
        </xdr:txBody>
      </xdr:sp>
      <xdr:sp macro="" textlink="">
        <xdr:nvSpPr>
          <xdr:cNvPr id="13" name="Obdélník 12"/>
          <xdr:cNvSpPr/>
        </xdr:nvSpPr>
        <xdr:spPr>
          <a:xfrm>
            <a:off x="1432560" y="518160"/>
            <a:ext cx="693420" cy="36576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Výstup RS232</a:t>
            </a:r>
          </a:p>
        </xdr:txBody>
      </xdr:sp>
    </xdr:grpSp>
    <xdr:clientData/>
  </xdr:twoCellAnchor>
  <xdr:twoCellAnchor>
    <xdr:from>
      <xdr:col>1</xdr:col>
      <xdr:colOff>53340</xdr:colOff>
      <xdr:row>9</xdr:row>
      <xdr:rowOff>140486</xdr:rowOff>
    </xdr:from>
    <xdr:to>
      <xdr:col>3</xdr:col>
      <xdr:colOff>396240</xdr:colOff>
      <xdr:row>13</xdr:row>
      <xdr:rowOff>33805</xdr:rowOff>
    </xdr:to>
    <xdr:grpSp>
      <xdr:nvGrpSpPr>
        <xdr:cNvPr id="14" name="Skupina 13"/>
        <xdr:cNvGrpSpPr/>
      </xdr:nvGrpSpPr>
      <xdr:grpSpPr>
        <a:xfrm>
          <a:off x="663917" y="1898948"/>
          <a:ext cx="1564054" cy="674857"/>
          <a:chOff x="670560" y="365760"/>
          <a:chExt cx="1562100" cy="624840"/>
        </a:xfrm>
      </xdr:grpSpPr>
      <xdr:sp macro="" textlink="">
        <xdr:nvSpPr>
          <xdr:cNvPr id="15" name="Obdélník 14"/>
          <xdr:cNvSpPr/>
        </xdr:nvSpPr>
        <xdr:spPr>
          <a:xfrm>
            <a:off x="670560" y="365760"/>
            <a:ext cx="1562100" cy="624840"/>
          </a:xfrm>
          <a:prstGeom prst="rect">
            <a:avLst/>
          </a:prstGeom>
          <a:solidFill>
            <a:schemeClr val="accent1">
              <a:alpha val="5000"/>
            </a:schemeClr>
          </a:solidFill>
          <a:ln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cs-CZ" sz="1100"/>
          </a:p>
        </xdr:txBody>
      </xdr:sp>
      <xdr:sp macro="" textlink="">
        <xdr:nvSpPr>
          <xdr:cNvPr id="16" name="Obdélník 15"/>
          <xdr:cNvSpPr/>
        </xdr:nvSpPr>
        <xdr:spPr>
          <a:xfrm>
            <a:off x="822960" y="518160"/>
            <a:ext cx="502920" cy="37338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RFID anténa </a:t>
            </a:r>
          </a:p>
        </xdr:txBody>
      </xdr:sp>
      <xdr:sp macro="" textlink="">
        <xdr:nvSpPr>
          <xdr:cNvPr id="17" name="Obdélník 16"/>
          <xdr:cNvSpPr/>
        </xdr:nvSpPr>
        <xdr:spPr>
          <a:xfrm>
            <a:off x="1432560" y="518160"/>
            <a:ext cx="693420" cy="36576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Výstup RS232</a:t>
            </a:r>
          </a:p>
        </xdr:txBody>
      </xdr:sp>
    </xdr:grpSp>
    <xdr:clientData/>
  </xdr:twoCellAnchor>
  <xdr:twoCellAnchor>
    <xdr:from>
      <xdr:col>1</xdr:col>
      <xdr:colOff>54316</xdr:colOff>
      <xdr:row>13</xdr:row>
      <xdr:rowOff>120556</xdr:rowOff>
    </xdr:from>
    <xdr:to>
      <xdr:col>3</xdr:col>
      <xdr:colOff>397216</xdr:colOff>
      <xdr:row>17</xdr:row>
      <xdr:rowOff>11140</xdr:rowOff>
    </xdr:to>
    <xdr:grpSp>
      <xdr:nvGrpSpPr>
        <xdr:cNvPr id="18" name="Skupina 17"/>
        <xdr:cNvGrpSpPr/>
      </xdr:nvGrpSpPr>
      <xdr:grpSpPr>
        <a:xfrm>
          <a:off x="664893" y="2660556"/>
          <a:ext cx="1564054" cy="672122"/>
          <a:chOff x="670560" y="365760"/>
          <a:chExt cx="1562100" cy="624840"/>
        </a:xfrm>
      </xdr:grpSpPr>
      <xdr:sp macro="" textlink="">
        <xdr:nvSpPr>
          <xdr:cNvPr id="19" name="Obdélník 18"/>
          <xdr:cNvSpPr/>
        </xdr:nvSpPr>
        <xdr:spPr>
          <a:xfrm>
            <a:off x="670560" y="365760"/>
            <a:ext cx="1562100" cy="624840"/>
          </a:xfrm>
          <a:prstGeom prst="rect">
            <a:avLst/>
          </a:prstGeom>
          <a:solidFill>
            <a:schemeClr val="accent1">
              <a:alpha val="5000"/>
            </a:schemeClr>
          </a:solidFill>
          <a:ln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cs-CZ" sz="1100"/>
          </a:p>
        </xdr:txBody>
      </xdr:sp>
      <xdr:sp macro="" textlink="">
        <xdr:nvSpPr>
          <xdr:cNvPr id="20" name="Obdélník 19"/>
          <xdr:cNvSpPr/>
        </xdr:nvSpPr>
        <xdr:spPr>
          <a:xfrm>
            <a:off x="822960" y="518160"/>
            <a:ext cx="502920" cy="37338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RFID anténa </a:t>
            </a:r>
          </a:p>
        </xdr:txBody>
      </xdr:sp>
      <xdr:sp macro="" textlink="">
        <xdr:nvSpPr>
          <xdr:cNvPr id="21" name="Obdélník 20"/>
          <xdr:cNvSpPr/>
        </xdr:nvSpPr>
        <xdr:spPr>
          <a:xfrm>
            <a:off x="1432560" y="518160"/>
            <a:ext cx="693420" cy="36576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Výstup RS232</a:t>
            </a:r>
          </a:p>
        </xdr:txBody>
      </xdr:sp>
    </xdr:grpSp>
    <xdr:clientData/>
  </xdr:twoCellAnchor>
  <xdr:twoCellAnchor>
    <xdr:from>
      <xdr:col>1</xdr:col>
      <xdr:colOff>60181</xdr:colOff>
      <xdr:row>17</xdr:row>
      <xdr:rowOff>97112</xdr:rowOff>
    </xdr:from>
    <xdr:to>
      <xdr:col>3</xdr:col>
      <xdr:colOff>403081</xdr:colOff>
      <xdr:row>20</xdr:row>
      <xdr:rowOff>173312</xdr:rowOff>
    </xdr:to>
    <xdr:grpSp>
      <xdr:nvGrpSpPr>
        <xdr:cNvPr id="22" name="Skupina 21"/>
        <xdr:cNvGrpSpPr/>
      </xdr:nvGrpSpPr>
      <xdr:grpSpPr>
        <a:xfrm>
          <a:off x="670758" y="3418650"/>
          <a:ext cx="1564054" cy="662354"/>
          <a:chOff x="670560" y="365760"/>
          <a:chExt cx="1562100" cy="624840"/>
        </a:xfrm>
      </xdr:grpSpPr>
      <xdr:sp macro="" textlink="">
        <xdr:nvSpPr>
          <xdr:cNvPr id="23" name="Obdélník 22"/>
          <xdr:cNvSpPr/>
        </xdr:nvSpPr>
        <xdr:spPr>
          <a:xfrm>
            <a:off x="670560" y="365760"/>
            <a:ext cx="1562100" cy="624840"/>
          </a:xfrm>
          <a:prstGeom prst="rect">
            <a:avLst/>
          </a:prstGeom>
          <a:solidFill>
            <a:schemeClr val="accent1">
              <a:alpha val="5000"/>
            </a:schemeClr>
          </a:solidFill>
          <a:ln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cs-CZ" sz="1100"/>
          </a:p>
        </xdr:txBody>
      </xdr:sp>
      <xdr:sp macro="" textlink="">
        <xdr:nvSpPr>
          <xdr:cNvPr id="24" name="Obdélník 23"/>
          <xdr:cNvSpPr/>
        </xdr:nvSpPr>
        <xdr:spPr>
          <a:xfrm>
            <a:off x="822960" y="518160"/>
            <a:ext cx="502920" cy="37338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RFID anténa </a:t>
            </a:r>
          </a:p>
        </xdr:txBody>
      </xdr:sp>
      <xdr:sp macro="" textlink="">
        <xdr:nvSpPr>
          <xdr:cNvPr id="25" name="Obdélník 24"/>
          <xdr:cNvSpPr/>
        </xdr:nvSpPr>
        <xdr:spPr>
          <a:xfrm>
            <a:off x="1432560" y="518160"/>
            <a:ext cx="693420" cy="36576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Výstup RS232</a:t>
            </a:r>
          </a:p>
        </xdr:txBody>
      </xdr:sp>
    </xdr:grpSp>
    <xdr:clientData/>
  </xdr:twoCellAnchor>
  <xdr:twoCellAnchor>
    <xdr:from>
      <xdr:col>1</xdr:col>
      <xdr:colOff>56276</xdr:colOff>
      <xdr:row>21</xdr:row>
      <xdr:rowOff>73665</xdr:rowOff>
    </xdr:from>
    <xdr:to>
      <xdr:col>3</xdr:col>
      <xdr:colOff>399176</xdr:colOff>
      <xdr:row>24</xdr:row>
      <xdr:rowOff>149865</xdr:rowOff>
    </xdr:to>
    <xdr:grpSp>
      <xdr:nvGrpSpPr>
        <xdr:cNvPr id="26" name="Skupina 25"/>
        <xdr:cNvGrpSpPr/>
      </xdr:nvGrpSpPr>
      <xdr:grpSpPr>
        <a:xfrm>
          <a:off x="666853" y="4176742"/>
          <a:ext cx="1564054" cy="662354"/>
          <a:chOff x="670560" y="365760"/>
          <a:chExt cx="1562100" cy="624840"/>
        </a:xfrm>
      </xdr:grpSpPr>
      <xdr:sp macro="" textlink="">
        <xdr:nvSpPr>
          <xdr:cNvPr id="27" name="Obdélník 26"/>
          <xdr:cNvSpPr/>
        </xdr:nvSpPr>
        <xdr:spPr>
          <a:xfrm>
            <a:off x="670560" y="365760"/>
            <a:ext cx="1562100" cy="624840"/>
          </a:xfrm>
          <a:prstGeom prst="rect">
            <a:avLst/>
          </a:prstGeom>
          <a:solidFill>
            <a:schemeClr val="accent1">
              <a:alpha val="5000"/>
            </a:schemeClr>
          </a:solidFill>
          <a:ln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cs-CZ" sz="1100"/>
          </a:p>
        </xdr:txBody>
      </xdr:sp>
      <xdr:sp macro="" textlink="">
        <xdr:nvSpPr>
          <xdr:cNvPr id="28" name="Obdélník 27"/>
          <xdr:cNvSpPr/>
        </xdr:nvSpPr>
        <xdr:spPr>
          <a:xfrm>
            <a:off x="822960" y="518160"/>
            <a:ext cx="502920" cy="37338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RFID anténa </a:t>
            </a:r>
          </a:p>
        </xdr:txBody>
      </xdr:sp>
      <xdr:sp macro="" textlink="">
        <xdr:nvSpPr>
          <xdr:cNvPr id="29" name="Obdélník 28"/>
          <xdr:cNvSpPr/>
        </xdr:nvSpPr>
        <xdr:spPr>
          <a:xfrm>
            <a:off x="1432560" y="518160"/>
            <a:ext cx="693420" cy="36576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Výstup RS232</a:t>
            </a:r>
          </a:p>
        </xdr:txBody>
      </xdr:sp>
    </xdr:grpSp>
    <xdr:clientData/>
  </xdr:twoCellAnchor>
  <xdr:twoCellAnchor>
    <xdr:from>
      <xdr:col>6</xdr:col>
      <xdr:colOff>280181</xdr:colOff>
      <xdr:row>12</xdr:row>
      <xdr:rowOff>27958</xdr:rowOff>
    </xdr:from>
    <xdr:to>
      <xdr:col>7</xdr:col>
      <xdr:colOff>364001</xdr:colOff>
      <xdr:row>14</xdr:row>
      <xdr:rowOff>152400</xdr:rowOff>
    </xdr:to>
    <xdr:sp macro="" textlink="">
      <xdr:nvSpPr>
        <xdr:cNvPr id="30" name="Obdélník 29"/>
        <xdr:cNvSpPr/>
      </xdr:nvSpPr>
      <xdr:spPr>
        <a:xfrm>
          <a:off x="3914335" y="2255343"/>
          <a:ext cx="689512" cy="49567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cs-CZ" sz="800">
              <a:solidFill>
                <a:schemeClr val="tx2"/>
              </a:solidFill>
            </a:rPr>
            <a:t>Papouch</a:t>
          </a:r>
          <a:r>
            <a:rPr lang="cs-CZ" sz="800" baseline="0">
              <a:solidFill>
                <a:schemeClr val="tx2"/>
              </a:solidFill>
            </a:rPr>
            <a:t> 2x RS232/LAN</a:t>
          </a:r>
          <a:endParaRPr lang="cs-CZ" sz="800">
            <a:solidFill>
              <a:schemeClr val="tx2"/>
            </a:solidFill>
          </a:endParaRPr>
        </a:p>
      </xdr:txBody>
    </xdr:sp>
    <xdr:clientData/>
  </xdr:twoCellAnchor>
  <xdr:twoCellAnchor>
    <xdr:from>
      <xdr:col>6</xdr:col>
      <xdr:colOff>276274</xdr:colOff>
      <xdr:row>19</xdr:row>
      <xdr:rowOff>141282</xdr:rowOff>
    </xdr:from>
    <xdr:to>
      <xdr:col>7</xdr:col>
      <xdr:colOff>360094</xdr:colOff>
      <xdr:row>22</xdr:row>
      <xdr:rowOff>80108</xdr:rowOff>
    </xdr:to>
    <xdr:sp macro="" textlink="">
      <xdr:nvSpPr>
        <xdr:cNvPr id="31" name="Obdélník 30"/>
        <xdr:cNvSpPr/>
      </xdr:nvSpPr>
      <xdr:spPr>
        <a:xfrm>
          <a:off x="3910428" y="3667974"/>
          <a:ext cx="689512" cy="49567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cs-CZ" sz="800">
              <a:solidFill>
                <a:schemeClr val="tx2"/>
              </a:solidFill>
            </a:rPr>
            <a:t>Papouch</a:t>
          </a:r>
          <a:r>
            <a:rPr lang="cs-CZ" sz="800" baseline="0">
              <a:solidFill>
                <a:schemeClr val="tx2"/>
              </a:solidFill>
            </a:rPr>
            <a:t> 2x RS232/LAN</a:t>
          </a:r>
          <a:endParaRPr lang="cs-CZ" sz="800">
            <a:solidFill>
              <a:schemeClr val="tx2"/>
            </a:solidFill>
          </a:endParaRPr>
        </a:p>
      </xdr:txBody>
    </xdr:sp>
    <xdr:clientData/>
  </xdr:twoCellAnchor>
  <xdr:twoCellAnchor>
    <xdr:from>
      <xdr:col>2</xdr:col>
      <xdr:colOff>107309</xdr:colOff>
      <xdr:row>3</xdr:row>
      <xdr:rowOff>154068</xdr:rowOff>
    </xdr:from>
    <xdr:to>
      <xdr:col>2</xdr:col>
      <xdr:colOff>213455</xdr:colOff>
      <xdr:row>3</xdr:row>
      <xdr:rowOff>157928</xdr:rowOff>
    </xdr:to>
    <xdr:cxnSp macro="">
      <xdr:nvCxnSpPr>
        <xdr:cNvPr id="38" name="Přímá spojnice 37"/>
        <xdr:cNvCxnSpPr>
          <a:stCxn id="2" idx="3"/>
          <a:endCxn id="3" idx="1"/>
        </xdr:cNvCxnSpPr>
      </xdr:nvCxnSpPr>
      <xdr:spPr>
        <a:xfrm flipV="1">
          <a:off x="1318694" y="710914"/>
          <a:ext cx="106146" cy="3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107309</xdr:colOff>
      <xdr:row>7</xdr:row>
      <xdr:rowOff>130428</xdr:rowOff>
    </xdr:from>
    <xdr:to>
      <xdr:col>2</xdr:col>
      <xdr:colOff>213455</xdr:colOff>
      <xdr:row>7</xdr:row>
      <xdr:rowOff>134288</xdr:rowOff>
    </xdr:to>
    <xdr:cxnSp macro="">
      <xdr:nvCxnSpPr>
        <xdr:cNvPr id="41" name="Přímá spojnice 40"/>
        <xdr:cNvCxnSpPr>
          <a:stCxn id="12" idx="3"/>
          <a:endCxn id="13" idx="1"/>
        </xdr:cNvCxnSpPr>
      </xdr:nvCxnSpPr>
      <xdr:spPr>
        <a:xfrm flipV="1">
          <a:off x="1318694" y="1429736"/>
          <a:ext cx="106146" cy="3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99689</xdr:colOff>
      <xdr:row>11</xdr:row>
      <xdr:rowOff>110406</xdr:rowOff>
    </xdr:from>
    <xdr:to>
      <xdr:col>2</xdr:col>
      <xdr:colOff>205835</xdr:colOff>
      <xdr:row>11</xdr:row>
      <xdr:rowOff>114283</xdr:rowOff>
    </xdr:to>
    <xdr:cxnSp macro="">
      <xdr:nvCxnSpPr>
        <xdr:cNvPr id="44" name="Přímá spojnice 43"/>
        <xdr:cNvCxnSpPr>
          <a:stCxn id="16" idx="3"/>
          <a:endCxn id="17" idx="1"/>
        </xdr:cNvCxnSpPr>
      </xdr:nvCxnSpPr>
      <xdr:spPr>
        <a:xfrm flipV="1">
          <a:off x="1311074" y="2152175"/>
          <a:ext cx="106146" cy="38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100665</xdr:colOff>
      <xdr:row>15</xdr:row>
      <xdr:rowOff>89008</xdr:rowOff>
    </xdr:from>
    <xdr:to>
      <xdr:col>2</xdr:col>
      <xdr:colOff>206811</xdr:colOff>
      <xdr:row>15</xdr:row>
      <xdr:rowOff>92868</xdr:rowOff>
    </xdr:to>
    <xdr:cxnSp macro="">
      <xdr:nvCxnSpPr>
        <xdr:cNvPr id="47" name="Přímá spojnice 46"/>
        <xdr:cNvCxnSpPr>
          <a:stCxn id="20" idx="3"/>
          <a:endCxn id="21" idx="1"/>
        </xdr:cNvCxnSpPr>
      </xdr:nvCxnSpPr>
      <xdr:spPr>
        <a:xfrm flipV="1">
          <a:off x="1312050" y="2873239"/>
          <a:ext cx="106146" cy="3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106530</xdr:colOff>
      <xdr:row>19</xdr:row>
      <xdr:rowOff>65565</xdr:rowOff>
    </xdr:from>
    <xdr:to>
      <xdr:col>2</xdr:col>
      <xdr:colOff>212676</xdr:colOff>
      <xdr:row>19</xdr:row>
      <xdr:rowOff>69425</xdr:rowOff>
    </xdr:to>
    <xdr:cxnSp macro="">
      <xdr:nvCxnSpPr>
        <xdr:cNvPr id="51" name="Přímá spojnice 50"/>
        <xdr:cNvCxnSpPr>
          <a:stCxn id="24" idx="3"/>
          <a:endCxn id="25" idx="1"/>
        </xdr:cNvCxnSpPr>
      </xdr:nvCxnSpPr>
      <xdr:spPr>
        <a:xfrm flipV="1">
          <a:off x="1317915" y="3592257"/>
          <a:ext cx="106146" cy="3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102625</xdr:colOff>
      <xdr:row>23</xdr:row>
      <xdr:rowOff>42117</xdr:rowOff>
    </xdr:from>
    <xdr:to>
      <xdr:col>2</xdr:col>
      <xdr:colOff>208771</xdr:colOff>
      <xdr:row>23</xdr:row>
      <xdr:rowOff>45977</xdr:rowOff>
    </xdr:to>
    <xdr:cxnSp macro="">
      <xdr:nvCxnSpPr>
        <xdr:cNvPr id="54" name="Přímá spojnice 53"/>
        <xdr:cNvCxnSpPr>
          <a:stCxn id="28" idx="3"/>
          <a:endCxn id="29" idx="1"/>
        </xdr:cNvCxnSpPr>
      </xdr:nvCxnSpPr>
      <xdr:spPr>
        <a:xfrm flipV="1">
          <a:off x="1314010" y="4311271"/>
          <a:ext cx="106146" cy="3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297714</xdr:colOff>
      <xdr:row>3</xdr:row>
      <xdr:rowOff>154068</xdr:rowOff>
    </xdr:from>
    <xdr:to>
      <xdr:col>6</xdr:col>
      <xdr:colOff>274320</xdr:colOff>
      <xdr:row>5</xdr:row>
      <xdr:rowOff>142933</xdr:rowOff>
    </xdr:to>
    <xdr:cxnSp macro="">
      <xdr:nvCxnSpPr>
        <xdr:cNvPr id="58" name="Pravoúhlá spojnice 57"/>
        <xdr:cNvCxnSpPr>
          <a:stCxn id="3" idx="3"/>
          <a:endCxn id="5" idx="1"/>
        </xdr:cNvCxnSpPr>
      </xdr:nvCxnSpPr>
      <xdr:spPr>
        <a:xfrm>
          <a:off x="2114791" y="710914"/>
          <a:ext cx="1793683" cy="360096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297714</xdr:colOff>
      <xdr:row>5</xdr:row>
      <xdr:rowOff>142933</xdr:rowOff>
    </xdr:from>
    <xdr:to>
      <xdr:col>6</xdr:col>
      <xdr:colOff>274320</xdr:colOff>
      <xdr:row>7</xdr:row>
      <xdr:rowOff>130428</xdr:rowOff>
    </xdr:to>
    <xdr:cxnSp macro="">
      <xdr:nvCxnSpPr>
        <xdr:cNvPr id="60" name="Pravoúhlá spojnice 59"/>
        <xdr:cNvCxnSpPr>
          <a:stCxn id="13" idx="3"/>
          <a:endCxn id="5" idx="1"/>
        </xdr:cNvCxnSpPr>
      </xdr:nvCxnSpPr>
      <xdr:spPr>
        <a:xfrm flipV="1">
          <a:off x="2114791" y="1071010"/>
          <a:ext cx="1793683" cy="358726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290094</xdr:colOff>
      <xdr:row>11</xdr:row>
      <xdr:rowOff>110406</xdr:rowOff>
    </xdr:from>
    <xdr:to>
      <xdr:col>6</xdr:col>
      <xdr:colOff>280181</xdr:colOff>
      <xdr:row>13</xdr:row>
      <xdr:rowOff>90179</xdr:rowOff>
    </xdr:to>
    <xdr:cxnSp macro="">
      <xdr:nvCxnSpPr>
        <xdr:cNvPr id="64" name="Pravoúhlá spojnice 63"/>
        <xdr:cNvCxnSpPr>
          <a:stCxn id="17" idx="3"/>
          <a:endCxn id="30" idx="1"/>
        </xdr:cNvCxnSpPr>
      </xdr:nvCxnSpPr>
      <xdr:spPr>
        <a:xfrm>
          <a:off x="2107171" y="2152175"/>
          <a:ext cx="1807164" cy="351004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291070</xdr:colOff>
      <xdr:row>13</xdr:row>
      <xdr:rowOff>90179</xdr:rowOff>
    </xdr:from>
    <xdr:to>
      <xdr:col>6</xdr:col>
      <xdr:colOff>280181</xdr:colOff>
      <xdr:row>15</xdr:row>
      <xdr:rowOff>89008</xdr:rowOff>
    </xdr:to>
    <xdr:cxnSp macro="">
      <xdr:nvCxnSpPr>
        <xdr:cNvPr id="69" name="Pravoúhlá spojnice 68"/>
        <xdr:cNvCxnSpPr>
          <a:stCxn id="21" idx="3"/>
          <a:endCxn id="30" idx="1"/>
        </xdr:cNvCxnSpPr>
      </xdr:nvCxnSpPr>
      <xdr:spPr>
        <a:xfrm flipV="1">
          <a:off x="2108147" y="2503179"/>
          <a:ext cx="1806188" cy="370060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296935</xdr:colOff>
      <xdr:row>19</xdr:row>
      <xdr:rowOff>65565</xdr:rowOff>
    </xdr:from>
    <xdr:to>
      <xdr:col>6</xdr:col>
      <xdr:colOff>276274</xdr:colOff>
      <xdr:row>21</xdr:row>
      <xdr:rowOff>17887</xdr:rowOff>
    </xdr:to>
    <xdr:cxnSp macro="">
      <xdr:nvCxnSpPr>
        <xdr:cNvPr id="73" name="Pravoúhlá spojnice 72"/>
        <xdr:cNvCxnSpPr>
          <a:stCxn id="25" idx="3"/>
          <a:endCxn id="31" idx="1"/>
        </xdr:cNvCxnSpPr>
      </xdr:nvCxnSpPr>
      <xdr:spPr>
        <a:xfrm>
          <a:off x="2114012" y="3592257"/>
          <a:ext cx="1796416" cy="323553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293030</xdr:colOff>
      <xdr:row>21</xdr:row>
      <xdr:rowOff>17887</xdr:rowOff>
    </xdr:from>
    <xdr:to>
      <xdr:col>6</xdr:col>
      <xdr:colOff>276274</xdr:colOff>
      <xdr:row>23</xdr:row>
      <xdr:rowOff>42117</xdr:rowOff>
    </xdr:to>
    <xdr:cxnSp macro="">
      <xdr:nvCxnSpPr>
        <xdr:cNvPr id="74" name="Pravoúhlá spojnice 73"/>
        <xdr:cNvCxnSpPr>
          <a:stCxn id="29" idx="3"/>
          <a:endCxn id="31" idx="1"/>
        </xdr:cNvCxnSpPr>
      </xdr:nvCxnSpPr>
      <xdr:spPr>
        <a:xfrm flipV="1">
          <a:off x="2110107" y="3915810"/>
          <a:ext cx="1800321" cy="395461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358140</xdr:colOff>
      <xdr:row>5</xdr:row>
      <xdr:rowOff>142933</xdr:rowOff>
    </xdr:from>
    <xdr:to>
      <xdr:col>8</xdr:col>
      <xdr:colOff>304604</xdr:colOff>
      <xdr:row>13</xdr:row>
      <xdr:rowOff>91831</xdr:rowOff>
    </xdr:to>
    <xdr:cxnSp macro="">
      <xdr:nvCxnSpPr>
        <xdr:cNvPr id="80" name="Pravoúhlá spojnice 79"/>
        <xdr:cNvCxnSpPr>
          <a:stCxn id="5" idx="3"/>
          <a:endCxn id="6" idx="1"/>
        </xdr:cNvCxnSpPr>
      </xdr:nvCxnSpPr>
      <xdr:spPr>
        <a:xfrm>
          <a:off x="4597986" y="1071010"/>
          <a:ext cx="552156" cy="143382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364001</xdr:colOff>
      <xdr:row>13</xdr:row>
      <xdr:rowOff>90179</xdr:rowOff>
    </xdr:from>
    <xdr:to>
      <xdr:col>8</xdr:col>
      <xdr:colOff>304604</xdr:colOff>
      <xdr:row>13</xdr:row>
      <xdr:rowOff>91831</xdr:rowOff>
    </xdr:to>
    <xdr:cxnSp macro="">
      <xdr:nvCxnSpPr>
        <xdr:cNvPr id="83" name="Pravoúhlá spojnice 82"/>
        <xdr:cNvCxnSpPr>
          <a:stCxn id="30" idx="3"/>
          <a:endCxn id="6" idx="1"/>
        </xdr:cNvCxnSpPr>
      </xdr:nvCxnSpPr>
      <xdr:spPr>
        <a:xfrm>
          <a:off x="4603847" y="2503179"/>
          <a:ext cx="546295" cy="1652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360094</xdr:colOff>
      <xdr:row>13</xdr:row>
      <xdr:rowOff>91831</xdr:rowOff>
    </xdr:from>
    <xdr:to>
      <xdr:col>8</xdr:col>
      <xdr:colOff>304604</xdr:colOff>
      <xdr:row>21</xdr:row>
      <xdr:rowOff>17887</xdr:rowOff>
    </xdr:to>
    <xdr:cxnSp macro="">
      <xdr:nvCxnSpPr>
        <xdr:cNvPr id="86" name="Pravoúhlá spojnice 85"/>
        <xdr:cNvCxnSpPr>
          <a:stCxn id="31" idx="3"/>
          <a:endCxn id="6" idx="1"/>
        </xdr:cNvCxnSpPr>
      </xdr:nvCxnSpPr>
      <xdr:spPr>
        <a:xfrm flipV="1">
          <a:off x="4599940" y="2504831"/>
          <a:ext cx="550202" cy="141097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J34" sqref="J34"/>
    </sheetView>
  </sheetViews>
  <sheetFormatPr defaultRowHeight="15" x14ac:dyDescent="0.25"/>
  <cols>
    <col min="1" max="1" width="52.28515625" customWidth="1"/>
    <col min="2" max="3" width="8.85546875" style="7"/>
    <col min="4" max="4" width="11.28515625" style="7" bestFit="1" customWidth="1"/>
  </cols>
  <sheetData>
    <row r="1" spans="1:4" x14ac:dyDescent="0.25">
      <c r="A1" s="1" t="s">
        <v>0</v>
      </c>
      <c r="B1" s="3" t="s">
        <v>1</v>
      </c>
      <c r="C1" s="3" t="s">
        <v>2</v>
      </c>
      <c r="D1" s="4" t="s">
        <v>3</v>
      </c>
    </row>
    <row r="2" spans="1:4" x14ac:dyDescent="0.25">
      <c r="A2" s="2" t="s">
        <v>4</v>
      </c>
      <c r="B2" s="5">
        <v>700</v>
      </c>
      <c r="C2" s="5">
        <v>6</v>
      </c>
      <c r="D2" s="6">
        <f>B2*C2</f>
        <v>4200</v>
      </c>
    </row>
    <row r="3" spans="1:4" x14ac:dyDescent="0.25">
      <c r="A3" s="2" t="s">
        <v>5</v>
      </c>
      <c r="B3" s="5">
        <v>7900</v>
      </c>
      <c r="C3" s="5">
        <v>6</v>
      </c>
      <c r="D3" s="6">
        <f t="shared" ref="D3:D10" si="0">B3*C3</f>
        <v>47400</v>
      </c>
    </row>
    <row r="4" spans="1:4" x14ac:dyDescent="0.25">
      <c r="A4" s="2" t="s">
        <v>6</v>
      </c>
      <c r="B4" s="5">
        <v>65</v>
      </c>
      <c r="C4" s="5">
        <v>6</v>
      </c>
      <c r="D4" s="6">
        <f t="shared" si="0"/>
        <v>390</v>
      </c>
    </row>
    <row r="5" spans="1:4" x14ac:dyDescent="0.25">
      <c r="A5" s="2" t="s">
        <v>25</v>
      </c>
      <c r="B5" s="5">
        <v>350</v>
      </c>
      <c r="C5" s="5">
        <v>0</v>
      </c>
      <c r="D5" s="6">
        <f t="shared" si="0"/>
        <v>0</v>
      </c>
    </row>
    <row r="6" spans="1:4" ht="14.45" x14ac:dyDescent="0.3">
      <c r="A6" s="2" t="s">
        <v>7</v>
      </c>
      <c r="B6" s="5">
        <v>3500</v>
      </c>
      <c r="C6" s="5">
        <v>3</v>
      </c>
      <c r="D6" s="6">
        <f t="shared" si="0"/>
        <v>10500</v>
      </c>
    </row>
    <row r="7" spans="1:4" ht="14.45" x14ac:dyDescent="0.3">
      <c r="A7" s="2" t="s">
        <v>26</v>
      </c>
      <c r="B7" s="5">
        <v>450</v>
      </c>
      <c r="C7" s="5">
        <v>0</v>
      </c>
      <c r="D7" s="6">
        <f t="shared" si="0"/>
        <v>0</v>
      </c>
    </row>
    <row r="8" spans="1:4" x14ac:dyDescent="0.25">
      <c r="A8" s="2" t="s">
        <v>9</v>
      </c>
      <c r="B8" s="5">
        <v>550</v>
      </c>
      <c r="C8" s="5">
        <v>1</v>
      </c>
      <c r="D8" s="6">
        <f t="shared" si="0"/>
        <v>550</v>
      </c>
    </row>
    <row r="9" spans="1:4" x14ac:dyDescent="0.25">
      <c r="A9" s="2" t="s">
        <v>27</v>
      </c>
      <c r="B9" s="5">
        <v>4950</v>
      </c>
      <c r="C9" s="5">
        <v>1</v>
      </c>
      <c r="D9" s="6">
        <f t="shared" si="0"/>
        <v>4950</v>
      </c>
    </row>
    <row r="10" spans="1:4" x14ac:dyDescent="0.25">
      <c r="A10" s="2" t="s">
        <v>10</v>
      </c>
      <c r="B10" s="5">
        <v>300</v>
      </c>
      <c r="C10" s="5">
        <v>1</v>
      </c>
      <c r="D10" s="6">
        <f t="shared" si="0"/>
        <v>300</v>
      </c>
    </row>
    <row r="11" spans="1:4" s="11" customFormat="1" x14ac:dyDescent="0.25">
      <c r="A11" s="8" t="s">
        <v>11</v>
      </c>
      <c r="B11" s="9"/>
      <c r="C11" s="9"/>
      <c r="D11" s="10">
        <f>SUM(D2:D10)</f>
        <v>68290</v>
      </c>
    </row>
    <row r="12" spans="1:4" x14ac:dyDescent="0.25">
      <c r="A12" s="2" t="s">
        <v>12</v>
      </c>
      <c r="B12" s="5">
        <v>550</v>
      </c>
      <c r="C12" s="5">
        <v>16</v>
      </c>
      <c r="D12" s="6">
        <f>B12*C12</f>
        <v>8800</v>
      </c>
    </row>
    <row r="13" spans="1:4" x14ac:dyDescent="0.25">
      <c r="A13" s="2" t="s">
        <v>29</v>
      </c>
      <c r="B13" s="5">
        <v>550</v>
      </c>
      <c r="C13" s="5">
        <v>6</v>
      </c>
      <c r="D13" s="6">
        <f>B13*C13</f>
        <v>3300</v>
      </c>
    </row>
    <row r="14" spans="1:4" x14ac:dyDescent="0.25">
      <c r="A14" s="2" t="s">
        <v>13</v>
      </c>
      <c r="B14" s="5">
        <v>550</v>
      </c>
      <c r="C14" s="5">
        <v>8</v>
      </c>
      <c r="D14" s="6">
        <f>B14*C14</f>
        <v>4400</v>
      </c>
    </row>
    <row r="15" spans="1:4" x14ac:dyDescent="0.25">
      <c r="A15" s="2" t="s">
        <v>17</v>
      </c>
      <c r="B15" s="5">
        <v>750</v>
      </c>
      <c r="C15" s="5">
        <v>2</v>
      </c>
      <c r="D15" s="6">
        <f>B15*C15</f>
        <v>1500</v>
      </c>
    </row>
    <row r="16" spans="1:4" s="11" customFormat="1" x14ac:dyDescent="0.25">
      <c r="A16" s="8" t="s">
        <v>20</v>
      </c>
      <c r="B16" s="9"/>
      <c r="C16" s="9"/>
      <c r="D16" s="10">
        <f>SUM(D12:D15)</f>
        <v>18000</v>
      </c>
    </row>
    <row r="17" spans="1:4" x14ac:dyDescent="0.25">
      <c r="A17" s="2" t="s">
        <v>23</v>
      </c>
      <c r="B17" s="5">
        <v>3900</v>
      </c>
      <c r="C17" s="5">
        <v>0</v>
      </c>
      <c r="D17" s="6">
        <f t="shared" ref="D17" si="1">B17*C17</f>
        <v>0</v>
      </c>
    </row>
    <row r="18" spans="1:4" x14ac:dyDescent="0.25">
      <c r="A18" s="2" t="s">
        <v>14</v>
      </c>
      <c r="B18" s="5">
        <v>7500</v>
      </c>
      <c r="C18" s="5">
        <v>1</v>
      </c>
      <c r="D18" s="6">
        <f t="shared" ref="D18:D23" si="2">B18*C18</f>
        <v>7500</v>
      </c>
    </row>
    <row r="19" spans="1:4" x14ac:dyDescent="0.25">
      <c r="A19" s="2" t="s">
        <v>15</v>
      </c>
      <c r="B19" s="5">
        <v>5000</v>
      </c>
      <c r="C19" s="5">
        <v>1</v>
      </c>
      <c r="D19" s="6">
        <f t="shared" si="2"/>
        <v>5000</v>
      </c>
    </row>
    <row r="20" spans="1:4" x14ac:dyDescent="0.25">
      <c r="A20" s="2" t="s">
        <v>22</v>
      </c>
      <c r="B20" s="5">
        <v>39</v>
      </c>
      <c r="C20" s="5">
        <v>500</v>
      </c>
      <c r="D20" s="6">
        <f t="shared" si="2"/>
        <v>19500</v>
      </c>
    </row>
    <row r="21" spans="1:4" x14ac:dyDescent="0.25">
      <c r="A21" s="2" t="s">
        <v>16</v>
      </c>
      <c r="B21" s="5">
        <v>20000</v>
      </c>
      <c r="C21" s="5">
        <v>1</v>
      </c>
      <c r="D21" s="6">
        <f t="shared" ref="D21:D22" si="3">B21*C21</f>
        <v>20000</v>
      </c>
    </row>
    <row r="22" spans="1:4" x14ac:dyDescent="0.25">
      <c r="A22" s="2" t="s">
        <v>31</v>
      </c>
      <c r="B22" s="5">
        <v>550</v>
      </c>
      <c r="C22" s="5">
        <v>19</v>
      </c>
      <c r="D22" s="6">
        <f t="shared" si="3"/>
        <v>10450</v>
      </c>
    </row>
    <row r="23" spans="1:4" x14ac:dyDescent="0.25">
      <c r="A23" s="2" t="s">
        <v>30</v>
      </c>
      <c r="B23" s="5">
        <v>550</v>
      </c>
      <c r="C23" s="5">
        <v>16</v>
      </c>
      <c r="D23" s="6">
        <f t="shared" si="2"/>
        <v>8800</v>
      </c>
    </row>
    <row r="24" spans="1:4" s="11" customFormat="1" x14ac:dyDescent="0.25">
      <c r="A24" s="8" t="s">
        <v>18</v>
      </c>
      <c r="B24" s="9"/>
      <c r="C24" s="9"/>
      <c r="D24" s="10">
        <f>SUM(D17:D23)</f>
        <v>71250</v>
      </c>
    </row>
    <row r="25" spans="1:4" s="15" customFormat="1" x14ac:dyDescent="0.25">
      <c r="A25" s="12" t="s">
        <v>19</v>
      </c>
      <c r="B25" s="13"/>
      <c r="C25" s="13"/>
      <c r="D25" s="14"/>
    </row>
    <row r="26" spans="1:4" s="15" customFormat="1" x14ac:dyDescent="0.25">
      <c r="A26" s="12" t="str">
        <f>A11</f>
        <v>Celkem kompletní linka HW</v>
      </c>
      <c r="B26" s="13">
        <f>D11</f>
        <v>68290</v>
      </c>
      <c r="C26" s="13">
        <v>1</v>
      </c>
      <c r="D26" s="14">
        <f>B26*C26</f>
        <v>68290</v>
      </c>
    </row>
    <row r="27" spans="1:4" s="15" customFormat="1" x14ac:dyDescent="0.25">
      <c r="A27" s="12" t="str">
        <f>A16</f>
        <v>Celkem kompletní linka práce</v>
      </c>
      <c r="B27" s="13">
        <f>D16</f>
        <v>18000</v>
      </c>
      <c r="C27" s="13">
        <f>C26</f>
        <v>1</v>
      </c>
      <c r="D27" s="14">
        <f>B27*C27</f>
        <v>18000</v>
      </c>
    </row>
    <row r="28" spans="1:4" s="15" customFormat="1" ht="15.75" thickBot="1" x14ac:dyDescent="0.3">
      <c r="A28" s="16" t="str">
        <f>A24</f>
        <v>Celkem jednorázové náklady</v>
      </c>
      <c r="B28" s="17">
        <f>D24</f>
        <v>71250</v>
      </c>
      <c r="C28" s="17">
        <v>1</v>
      </c>
      <c r="D28" s="14">
        <f>B28*C28</f>
        <v>71250</v>
      </c>
    </row>
    <row r="29" spans="1:4" s="21" customFormat="1" ht="15.75" thickBot="1" x14ac:dyDescent="0.3">
      <c r="A29" s="18" t="s">
        <v>21</v>
      </c>
      <c r="B29" s="19"/>
      <c r="C29" s="19"/>
      <c r="D29" s="20">
        <f>SUM(D26:D28)</f>
        <v>157540</v>
      </c>
    </row>
    <row r="31" spans="1:4" x14ac:dyDescent="0.25">
      <c r="A31" t="s">
        <v>28</v>
      </c>
    </row>
  </sheetData>
  <pageMargins left="0.7" right="0.7" top="0.78740157499999996" bottom="0.78740157499999996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D31" sqref="D31"/>
    </sheetView>
  </sheetViews>
  <sheetFormatPr defaultRowHeight="15" x14ac:dyDescent="0.25"/>
  <cols>
    <col min="1" max="1" width="52.28515625" customWidth="1"/>
    <col min="2" max="3" width="9.140625" style="7"/>
    <col min="4" max="4" width="11.28515625" style="7" bestFit="1" customWidth="1"/>
  </cols>
  <sheetData>
    <row r="1" spans="1:4" s="25" customFormat="1" x14ac:dyDescent="0.25">
      <c r="A1" s="22" t="s">
        <v>0</v>
      </c>
      <c r="B1" s="23" t="s">
        <v>1</v>
      </c>
      <c r="C1" s="23" t="s">
        <v>2</v>
      </c>
      <c r="D1" s="24" t="s">
        <v>3</v>
      </c>
    </row>
    <row r="2" spans="1:4" x14ac:dyDescent="0.25">
      <c r="A2" s="2" t="s">
        <v>4</v>
      </c>
      <c r="B2" s="5">
        <v>700</v>
      </c>
      <c r="C2" s="5">
        <v>6</v>
      </c>
      <c r="D2" s="6">
        <f>B2*C2</f>
        <v>4200</v>
      </c>
    </row>
    <row r="3" spans="1:4" x14ac:dyDescent="0.25">
      <c r="A3" s="2" t="s">
        <v>5</v>
      </c>
      <c r="B3" s="5">
        <v>3900</v>
      </c>
      <c r="C3" s="5">
        <v>6</v>
      </c>
      <c r="D3" s="6">
        <f t="shared" ref="D3:D10" si="0">B3*C3</f>
        <v>23400</v>
      </c>
    </row>
    <row r="4" spans="1:4" x14ac:dyDescent="0.25">
      <c r="A4" s="2" t="s">
        <v>6</v>
      </c>
      <c r="B4" s="5">
        <v>65</v>
      </c>
      <c r="C4" s="5">
        <v>6</v>
      </c>
      <c r="D4" s="6">
        <f t="shared" si="0"/>
        <v>390</v>
      </c>
    </row>
    <row r="5" spans="1:4" x14ac:dyDescent="0.25">
      <c r="A5" s="2" t="s">
        <v>25</v>
      </c>
      <c r="B5" s="5"/>
      <c r="C5" s="5">
        <v>0</v>
      </c>
      <c r="D5" s="6">
        <f t="shared" si="0"/>
        <v>0</v>
      </c>
    </row>
    <row r="6" spans="1:4" x14ac:dyDescent="0.25">
      <c r="A6" s="2" t="s">
        <v>7</v>
      </c>
      <c r="B6" s="5">
        <v>3500</v>
      </c>
      <c r="C6" s="5">
        <v>3</v>
      </c>
      <c r="D6" s="6">
        <f t="shared" si="0"/>
        <v>10500</v>
      </c>
    </row>
    <row r="7" spans="1:4" x14ac:dyDescent="0.25">
      <c r="A7" s="2" t="s">
        <v>8</v>
      </c>
      <c r="B7" s="5">
        <v>450</v>
      </c>
      <c r="C7" s="5">
        <v>0</v>
      </c>
      <c r="D7" s="6">
        <f t="shared" si="0"/>
        <v>0</v>
      </c>
    </row>
    <row r="8" spans="1:4" x14ac:dyDescent="0.25">
      <c r="A8" s="2" t="s">
        <v>9</v>
      </c>
      <c r="B8" s="5">
        <v>550</v>
      </c>
      <c r="C8" s="5">
        <v>1</v>
      </c>
      <c r="D8" s="6">
        <f t="shared" si="0"/>
        <v>550</v>
      </c>
    </row>
    <row r="9" spans="1:4" x14ac:dyDescent="0.25">
      <c r="A9" s="2" t="s">
        <v>24</v>
      </c>
      <c r="B9" s="5">
        <v>4950</v>
      </c>
      <c r="C9" s="5">
        <v>1</v>
      </c>
      <c r="D9" s="6">
        <f t="shared" si="0"/>
        <v>4950</v>
      </c>
    </row>
    <row r="10" spans="1:4" x14ac:dyDescent="0.25">
      <c r="A10" s="2" t="s">
        <v>10</v>
      </c>
      <c r="B10" s="5">
        <v>300</v>
      </c>
      <c r="C10" s="5">
        <v>1</v>
      </c>
      <c r="D10" s="6">
        <f t="shared" si="0"/>
        <v>300</v>
      </c>
    </row>
    <row r="11" spans="1:4" s="11" customFormat="1" x14ac:dyDescent="0.25">
      <c r="A11" s="8" t="s">
        <v>11</v>
      </c>
      <c r="B11" s="9"/>
      <c r="C11" s="9"/>
      <c r="D11" s="10">
        <f>SUM(D2:D10)</f>
        <v>44290</v>
      </c>
    </row>
    <row r="12" spans="1:4" x14ac:dyDescent="0.25">
      <c r="A12" s="2" t="s">
        <v>12</v>
      </c>
      <c r="B12" s="5">
        <v>550</v>
      </c>
      <c r="C12" s="5">
        <v>16</v>
      </c>
      <c r="D12" s="6">
        <f>B12*C12</f>
        <v>8800</v>
      </c>
    </row>
    <row r="13" spans="1:4" x14ac:dyDescent="0.25">
      <c r="A13" s="2" t="s">
        <v>29</v>
      </c>
      <c r="B13" s="5">
        <v>550</v>
      </c>
      <c r="C13" s="5">
        <v>6</v>
      </c>
      <c r="D13" s="6">
        <f>B13*C13</f>
        <v>3300</v>
      </c>
    </row>
    <row r="14" spans="1:4" x14ac:dyDescent="0.25">
      <c r="A14" s="2" t="s">
        <v>13</v>
      </c>
      <c r="B14" s="5">
        <v>550</v>
      </c>
      <c r="C14" s="5">
        <v>8</v>
      </c>
      <c r="D14" s="6">
        <f>B14*C14</f>
        <v>4400</v>
      </c>
    </row>
    <row r="15" spans="1:4" x14ac:dyDescent="0.25">
      <c r="A15" s="2" t="s">
        <v>17</v>
      </c>
      <c r="B15" s="5">
        <v>750</v>
      </c>
      <c r="C15" s="5">
        <v>2</v>
      </c>
      <c r="D15" s="6">
        <f>B15*C15</f>
        <v>1500</v>
      </c>
    </row>
    <row r="16" spans="1:4" s="11" customFormat="1" x14ac:dyDescent="0.25">
      <c r="A16" s="8" t="s">
        <v>20</v>
      </c>
      <c r="B16" s="9"/>
      <c r="C16" s="9"/>
      <c r="D16" s="10">
        <f>SUM(D12:D15)</f>
        <v>18000</v>
      </c>
    </row>
    <row r="17" spans="1:4" x14ac:dyDescent="0.25">
      <c r="A17" s="2" t="s">
        <v>23</v>
      </c>
      <c r="B17" s="5">
        <v>3900</v>
      </c>
      <c r="C17" s="5">
        <v>1</v>
      </c>
      <c r="D17" s="6">
        <f t="shared" ref="D17:D21" si="1">B17*C17</f>
        <v>3900</v>
      </c>
    </row>
    <row r="18" spans="1:4" x14ac:dyDescent="0.25">
      <c r="A18" s="2" t="s">
        <v>14</v>
      </c>
      <c r="B18" s="5">
        <v>7500</v>
      </c>
      <c r="C18" s="5">
        <v>0</v>
      </c>
      <c r="D18" s="6">
        <f t="shared" si="1"/>
        <v>0</v>
      </c>
    </row>
    <row r="19" spans="1:4" x14ac:dyDescent="0.25">
      <c r="A19" s="2" t="s">
        <v>15</v>
      </c>
      <c r="B19" s="5">
        <v>5000</v>
      </c>
      <c r="C19" s="5">
        <v>0</v>
      </c>
      <c r="D19" s="6">
        <f t="shared" si="1"/>
        <v>0</v>
      </c>
    </row>
    <row r="20" spans="1:4" x14ac:dyDescent="0.25">
      <c r="A20" s="2" t="s">
        <v>22</v>
      </c>
      <c r="B20" s="5">
        <v>39</v>
      </c>
      <c r="C20" s="5">
        <v>0</v>
      </c>
      <c r="D20" s="6">
        <f t="shared" si="1"/>
        <v>0</v>
      </c>
    </row>
    <row r="21" spans="1:4" x14ac:dyDescent="0.25">
      <c r="A21" s="2" t="s">
        <v>16</v>
      </c>
      <c r="B21" s="5">
        <v>25000</v>
      </c>
      <c r="C21" s="5">
        <v>0</v>
      </c>
      <c r="D21" s="6">
        <f t="shared" si="1"/>
        <v>0</v>
      </c>
    </row>
    <row r="22" spans="1:4" s="11" customFormat="1" x14ac:dyDescent="0.25">
      <c r="A22" s="8" t="s">
        <v>18</v>
      </c>
      <c r="B22" s="9"/>
      <c r="C22" s="9"/>
      <c r="D22" s="10">
        <f>SUM(D17:D21)</f>
        <v>3900</v>
      </c>
    </row>
    <row r="23" spans="1:4" s="15" customFormat="1" x14ac:dyDescent="0.25">
      <c r="A23" s="12" t="s">
        <v>19</v>
      </c>
      <c r="B23" s="13"/>
      <c r="C23" s="13"/>
      <c r="D23" s="14"/>
    </row>
    <row r="24" spans="1:4" s="15" customFormat="1" x14ac:dyDescent="0.25">
      <c r="A24" s="12" t="str">
        <f>A11</f>
        <v>Celkem kompletní linka HW</v>
      </c>
      <c r="B24" s="13">
        <f>D11</f>
        <v>44290</v>
      </c>
      <c r="C24" s="13">
        <v>4</v>
      </c>
      <c r="D24" s="14">
        <f>B24*C24</f>
        <v>177160</v>
      </c>
    </row>
    <row r="25" spans="1:4" s="15" customFormat="1" x14ac:dyDescent="0.25">
      <c r="A25" s="12" t="str">
        <f>A16</f>
        <v>Celkem kompletní linka práce</v>
      </c>
      <c r="B25" s="13">
        <f>D16</f>
        <v>18000</v>
      </c>
      <c r="C25" s="13">
        <f>C24</f>
        <v>4</v>
      </c>
      <c r="D25" s="14">
        <f>B25*C25</f>
        <v>72000</v>
      </c>
    </row>
    <row r="26" spans="1:4" s="15" customFormat="1" ht="15.75" thickBot="1" x14ac:dyDescent="0.3">
      <c r="A26" s="16" t="str">
        <f>A22</f>
        <v>Celkem jednorázové náklady</v>
      </c>
      <c r="B26" s="17">
        <f>D22</f>
        <v>3900</v>
      </c>
      <c r="C26" s="17">
        <v>1</v>
      </c>
      <c r="D26" s="14">
        <f>B26*C26</f>
        <v>3900</v>
      </c>
    </row>
    <row r="27" spans="1:4" s="21" customFormat="1" ht="15.75" thickBot="1" x14ac:dyDescent="0.3">
      <c r="A27" s="18" t="s">
        <v>21</v>
      </c>
      <c r="B27" s="19"/>
      <c r="C27" s="19"/>
      <c r="D27" s="20">
        <f>SUM(D24:D26)</f>
        <v>253060</v>
      </c>
    </row>
  </sheetData>
  <pageMargins left="0.7" right="0.7" top="0.78740157499999996" bottom="0.78740157499999996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H17" sqref="H17"/>
    </sheetView>
  </sheetViews>
  <sheetFormatPr defaultRowHeight="15" x14ac:dyDescent="0.25"/>
  <cols>
    <col min="1" max="1" width="52.28515625" customWidth="1"/>
    <col min="2" max="3" width="9.140625" style="7"/>
    <col min="4" max="4" width="11.28515625" style="7" bestFit="1" customWidth="1"/>
  </cols>
  <sheetData>
    <row r="1" spans="1:4" s="25" customFormat="1" x14ac:dyDescent="0.25">
      <c r="A1" s="22" t="s">
        <v>0</v>
      </c>
      <c r="B1" s="23" t="s">
        <v>1</v>
      </c>
      <c r="C1" s="23" t="s">
        <v>2</v>
      </c>
      <c r="D1" s="24" t="s">
        <v>3</v>
      </c>
    </row>
    <row r="2" spans="1:4" x14ac:dyDescent="0.25">
      <c r="A2" s="2" t="s">
        <v>4</v>
      </c>
      <c r="B2" s="5">
        <v>700</v>
      </c>
      <c r="C2" s="5">
        <v>6</v>
      </c>
      <c r="D2" s="6">
        <f>B2*C2</f>
        <v>4200</v>
      </c>
    </row>
    <row r="3" spans="1:4" x14ac:dyDescent="0.25">
      <c r="A3" s="2" t="s">
        <v>5</v>
      </c>
      <c r="B3" s="5">
        <v>3900</v>
      </c>
      <c r="C3" s="5">
        <v>6</v>
      </c>
      <c r="D3" s="6">
        <f t="shared" ref="D3:D10" si="0">B3*C3</f>
        <v>23400</v>
      </c>
    </row>
    <row r="4" spans="1:4" x14ac:dyDescent="0.25">
      <c r="A4" s="2" t="s">
        <v>6</v>
      </c>
      <c r="B4" s="5">
        <v>65</v>
      </c>
      <c r="C4" s="5">
        <v>6</v>
      </c>
      <c r="D4" s="6">
        <f t="shared" si="0"/>
        <v>390</v>
      </c>
    </row>
    <row r="5" spans="1:4" x14ac:dyDescent="0.25">
      <c r="A5" s="2" t="s">
        <v>25</v>
      </c>
      <c r="B5" s="5"/>
      <c r="C5" s="5">
        <v>0</v>
      </c>
      <c r="D5" s="6">
        <f t="shared" si="0"/>
        <v>0</v>
      </c>
    </row>
    <row r="6" spans="1:4" x14ac:dyDescent="0.25">
      <c r="A6" s="2" t="s">
        <v>7</v>
      </c>
      <c r="B6" s="5">
        <v>3500</v>
      </c>
      <c r="C6" s="5">
        <v>0</v>
      </c>
      <c r="D6" s="6">
        <f t="shared" si="0"/>
        <v>0</v>
      </c>
    </row>
    <row r="7" spans="1:4" x14ac:dyDescent="0.25">
      <c r="A7" s="2" t="s">
        <v>8</v>
      </c>
      <c r="B7" s="5">
        <v>450</v>
      </c>
      <c r="C7" s="5">
        <v>0</v>
      </c>
      <c r="D7" s="6">
        <f t="shared" si="0"/>
        <v>0</v>
      </c>
    </row>
    <row r="8" spans="1:4" x14ac:dyDescent="0.25">
      <c r="A8" s="2" t="s">
        <v>9</v>
      </c>
      <c r="B8" s="5">
        <v>550</v>
      </c>
      <c r="C8" s="5">
        <v>1</v>
      </c>
      <c r="D8" s="6">
        <f t="shared" si="0"/>
        <v>550</v>
      </c>
    </row>
    <row r="9" spans="1:4" x14ac:dyDescent="0.25">
      <c r="A9" s="2" t="s">
        <v>24</v>
      </c>
      <c r="B9" s="5">
        <v>4950</v>
      </c>
      <c r="C9" s="5">
        <v>1</v>
      </c>
      <c r="D9" s="6">
        <f t="shared" si="0"/>
        <v>4950</v>
      </c>
    </row>
    <row r="10" spans="1:4" x14ac:dyDescent="0.25">
      <c r="A10" s="2" t="s">
        <v>10</v>
      </c>
      <c r="B10" s="5">
        <v>300</v>
      </c>
      <c r="C10" s="5">
        <v>1</v>
      </c>
      <c r="D10" s="6">
        <f t="shared" si="0"/>
        <v>300</v>
      </c>
    </row>
    <row r="11" spans="1:4" s="11" customFormat="1" x14ac:dyDescent="0.25">
      <c r="A11" s="8" t="s">
        <v>11</v>
      </c>
      <c r="B11" s="9"/>
      <c r="C11" s="9"/>
      <c r="D11" s="10">
        <f>SUM(D2:D10)</f>
        <v>33790</v>
      </c>
    </row>
    <row r="12" spans="1:4" x14ac:dyDescent="0.25">
      <c r="A12" s="2" t="s">
        <v>12</v>
      </c>
      <c r="B12" s="5">
        <v>550</v>
      </c>
      <c r="C12" s="5">
        <v>16</v>
      </c>
      <c r="D12" s="6">
        <f>B12*C12</f>
        <v>8800</v>
      </c>
    </row>
    <row r="13" spans="1:4" x14ac:dyDescent="0.25">
      <c r="A13" s="2" t="s">
        <v>29</v>
      </c>
      <c r="B13" s="5">
        <v>550</v>
      </c>
      <c r="C13" s="5">
        <v>6</v>
      </c>
      <c r="D13" s="6">
        <f>B13*C13</f>
        <v>3300</v>
      </c>
    </row>
    <row r="14" spans="1:4" x14ac:dyDescent="0.25">
      <c r="A14" s="2" t="s">
        <v>13</v>
      </c>
      <c r="B14" s="5">
        <v>550</v>
      </c>
      <c r="C14" s="5">
        <v>8</v>
      </c>
      <c r="D14" s="6">
        <f>B14*C14</f>
        <v>4400</v>
      </c>
    </row>
    <row r="15" spans="1:4" x14ac:dyDescent="0.25">
      <c r="A15" s="2" t="s">
        <v>17</v>
      </c>
      <c r="B15" s="5">
        <v>750</v>
      </c>
      <c r="C15" s="5">
        <v>2</v>
      </c>
      <c r="D15" s="6">
        <f>B15*C15</f>
        <v>1500</v>
      </c>
    </row>
    <row r="16" spans="1:4" s="11" customFormat="1" x14ac:dyDescent="0.25">
      <c r="A16" s="8" t="s">
        <v>20</v>
      </c>
      <c r="B16" s="9"/>
      <c r="C16" s="9"/>
      <c r="D16" s="10">
        <f>SUM(D12:D15)</f>
        <v>18000</v>
      </c>
    </row>
    <row r="17" spans="1:4" x14ac:dyDescent="0.25">
      <c r="A17" s="2" t="s">
        <v>23</v>
      </c>
      <c r="B17" s="5">
        <v>3900</v>
      </c>
      <c r="C17" s="5">
        <v>0</v>
      </c>
      <c r="D17" s="6">
        <f t="shared" ref="D17:D21" si="1">B17*C17</f>
        <v>0</v>
      </c>
    </row>
    <row r="18" spans="1:4" x14ac:dyDescent="0.25">
      <c r="A18" s="2" t="s">
        <v>14</v>
      </c>
      <c r="B18" s="5">
        <v>7500</v>
      </c>
      <c r="C18" s="5">
        <v>0</v>
      </c>
      <c r="D18" s="6">
        <f t="shared" si="1"/>
        <v>0</v>
      </c>
    </row>
    <row r="19" spans="1:4" x14ac:dyDescent="0.25">
      <c r="A19" s="2" t="s">
        <v>15</v>
      </c>
      <c r="B19" s="5">
        <v>5000</v>
      </c>
      <c r="C19" s="5">
        <v>0</v>
      </c>
      <c r="D19" s="6">
        <f t="shared" si="1"/>
        <v>0</v>
      </c>
    </row>
    <row r="20" spans="1:4" x14ac:dyDescent="0.25">
      <c r="A20" s="2" t="s">
        <v>22</v>
      </c>
      <c r="B20" s="5">
        <v>39</v>
      </c>
      <c r="C20" s="5">
        <v>0</v>
      </c>
      <c r="D20" s="6">
        <f t="shared" si="1"/>
        <v>0</v>
      </c>
    </row>
    <row r="21" spans="1:4" x14ac:dyDescent="0.25">
      <c r="A21" s="2" t="s">
        <v>16</v>
      </c>
      <c r="B21" s="5">
        <v>25000</v>
      </c>
      <c r="C21" s="5">
        <v>0</v>
      </c>
      <c r="D21" s="6">
        <f t="shared" si="1"/>
        <v>0</v>
      </c>
    </row>
    <row r="22" spans="1:4" s="11" customFormat="1" x14ac:dyDescent="0.25">
      <c r="A22" s="8" t="s">
        <v>18</v>
      </c>
      <c r="B22" s="9"/>
      <c r="C22" s="9"/>
      <c r="D22" s="10">
        <f>SUM(D17:D21)</f>
        <v>0</v>
      </c>
    </row>
    <row r="23" spans="1:4" s="15" customFormat="1" x14ac:dyDescent="0.25">
      <c r="A23" s="12" t="s">
        <v>19</v>
      </c>
      <c r="B23" s="13"/>
      <c r="C23" s="13"/>
      <c r="D23" s="14"/>
    </row>
    <row r="24" spans="1:4" s="15" customFormat="1" x14ac:dyDescent="0.25">
      <c r="A24" s="12" t="str">
        <f>A11</f>
        <v>Celkem kompletní linka HW</v>
      </c>
      <c r="B24" s="13">
        <f>D11</f>
        <v>33790</v>
      </c>
      <c r="C24" s="13">
        <v>2</v>
      </c>
      <c r="D24" s="14">
        <f>B24*C24</f>
        <v>67580</v>
      </c>
    </row>
    <row r="25" spans="1:4" s="15" customFormat="1" x14ac:dyDescent="0.25">
      <c r="A25" s="12" t="str">
        <f>A16</f>
        <v>Celkem kompletní linka práce</v>
      </c>
      <c r="B25" s="13">
        <f>D16</f>
        <v>18000</v>
      </c>
      <c r="C25" s="13">
        <f>C24</f>
        <v>2</v>
      </c>
      <c r="D25" s="14">
        <f>B25*C25</f>
        <v>36000</v>
      </c>
    </row>
    <row r="26" spans="1:4" s="15" customFormat="1" ht="15.75" thickBot="1" x14ac:dyDescent="0.3">
      <c r="A26" s="16" t="str">
        <f>A22</f>
        <v>Celkem jednorázové náklady</v>
      </c>
      <c r="B26" s="17">
        <f>D22</f>
        <v>0</v>
      </c>
      <c r="C26" s="17">
        <v>1</v>
      </c>
      <c r="D26" s="14">
        <f>B26*C26</f>
        <v>0</v>
      </c>
    </row>
    <row r="27" spans="1:4" s="21" customFormat="1" ht="15.75" thickBot="1" x14ac:dyDescent="0.3">
      <c r="A27" s="18" t="s">
        <v>21</v>
      </c>
      <c r="B27" s="19"/>
      <c r="C27" s="19"/>
      <c r="D27" s="20">
        <f>SUM(D24:D26)</f>
        <v>103580</v>
      </c>
    </row>
  </sheetData>
  <pageMargins left="0.7" right="0.7" top="0.78740157499999996" bottom="0.78740157499999996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="78" zoomScaleNormal="78" workbookViewId="0">
      <selection activeCell="D28" sqref="D28"/>
    </sheetView>
  </sheetViews>
  <sheetFormatPr defaultRowHeight="15" x14ac:dyDescent="0.25"/>
  <sheetData/>
  <pageMargins left="0.7" right="0.7" top="0.78740157499999996" bottom="0.78740157499999996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Kalkulace červenec 2015</vt:lpstr>
      <vt:lpstr>Kalkulace září 2015</vt:lpstr>
      <vt:lpstr>Kalkulace 2016</vt:lpstr>
      <vt:lpstr>Schéma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GABEN ing. Jakub Unucka</dc:creator>
  <cp:lastModifiedBy>BO</cp:lastModifiedBy>
  <cp:lastPrinted>2015-06-23T10:01:33Z</cp:lastPrinted>
  <dcterms:created xsi:type="dcterms:W3CDTF">2015-06-02T08:40:14Z</dcterms:created>
  <dcterms:modified xsi:type="dcterms:W3CDTF">2015-07-08T12:21:15Z</dcterms:modified>
</cp:coreProperties>
</file>